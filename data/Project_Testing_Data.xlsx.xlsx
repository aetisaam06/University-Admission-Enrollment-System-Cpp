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LH\OneDrive\Desktop\ICT SEM PROJECT\"/>
    </mc:Choice>
  </mc:AlternateContent>
  <xr:revisionPtr revIDLastSave="0" documentId="13_ncr:1_{5F837C7D-0F50-47A8-AF34-1D7B04890C09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Cover" sheetId="1" r:id="rId1"/>
    <sheet name="Project Plan" sheetId="2" r:id="rId2"/>
    <sheet name="Inputs &amp; Validation" sheetId="3" r:id="rId3"/>
    <sheet name="Admission Rules" sheetId="4" r:id="rId4"/>
    <sheet name="Decision Calculator" sheetId="5" r:id="rId5"/>
    <sheet name="Sample Scenarios" sheetId="6" r:id="rId6"/>
    <sheet name="Glossary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K7" i="6"/>
  <c r="I7" i="6"/>
  <c r="J7" i="6" s="1"/>
  <c r="K6" i="6"/>
  <c r="I6" i="6"/>
  <c r="J6" i="6" s="1"/>
  <c r="C21" i="5"/>
  <c r="C18" i="5"/>
  <c r="C23" i="5" s="1"/>
  <c r="H9" i="5"/>
  <c r="H8" i="5"/>
  <c r="H7" i="5"/>
  <c r="H6" i="5"/>
  <c r="C24" i="2"/>
  <c r="C24" i="5" l="1"/>
  <c r="C25" i="5" s="1"/>
  <c r="C19" i="5"/>
  <c r="C20" i="5"/>
  <c r="C22" i="5"/>
</calcChain>
</file>

<file path=xl/sharedStrings.xml><?xml version="1.0" encoding="utf-8"?>
<sst xmlns="http://schemas.openxmlformats.org/spreadsheetml/2006/main" count="328" uniqueCount="264">
  <si>
    <t>UNIVERSITY ADMISSION &amp; ENROLLMENT SYSTEM</t>
  </si>
  <si>
    <t>Console-based C++ Decision Support System (Eligibility • Program Selection • Merit • Aid)</t>
  </si>
  <si>
    <t>University</t>
  </si>
  <si>
    <t>Capital University of Science &amp; Technology (CUST), Islamabad</t>
  </si>
  <si>
    <t>Department</t>
  </si>
  <si>
    <t>Electrical Engineering / Electrical &amp; Computer Engineering</t>
  </si>
  <si>
    <t>Course Title</t>
  </si>
  <si>
    <t>Applications of Information and Computer Technologies</t>
  </si>
  <si>
    <t>Submission</t>
  </si>
  <si>
    <t>January 2026</t>
  </si>
  <si>
    <t>Project Team</t>
  </si>
  <si>
    <t>S#</t>
  </si>
  <si>
    <t>Student Name</t>
  </si>
  <si>
    <t>Registration No.</t>
  </si>
  <si>
    <t>Aetisaam ul Hassan</t>
  </si>
  <si>
    <t>BCY253051</t>
  </si>
  <si>
    <t>Aman Sajid</t>
  </si>
  <si>
    <t>BCY253084</t>
  </si>
  <si>
    <t>Proposed Project Plan &amp; Milestones</t>
  </si>
  <si>
    <t>Part I (Planning &amp; Design)</t>
  </si>
  <si>
    <t>Task</t>
  </si>
  <si>
    <t>Duration (Weeks)</t>
  </si>
  <si>
    <t>Resource Person</t>
  </si>
  <si>
    <t>Requirement Analysis and Problem Identification</t>
  </si>
  <si>
    <t>Literature Review and Background Study</t>
  </si>
  <si>
    <t>Aetisaam ul Hassan, Aman Sajid</t>
  </si>
  <si>
    <t>Flowchart, Presentation and Algorithm Design</t>
  </si>
  <si>
    <t>Input and Output Structure Planning</t>
  </si>
  <si>
    <t>Project Proposal and Documentation</t>
  </si>
  <si>
    <t>Part II (Implementation &amp; Evaluation)</t>
  </si>
  <si>
    <t>C++ Program Development</t>
  </si>
  <si>
    <t>Implementation of Admission Logic</t>
  </si>
  <si>
    <t>Testing and Debugging</t>
  </si>
  <si>
    <t>Output Verification and Evaluation</t>
  </si>
  <si>
    <t>Final Report Writing and Formatting</t>
  </si>
  <si>
    <t>Timeline Note (as described in report): The project timeline is presented between 20 December and 10 January using Gantt-style charts.</t>
  </si>
  <si>
    <t>Total planned duration (weeks)</t>
  </si>
  <si>
    <t>Total tasks</t>
  </si>
  <si>
    <t>Applicant Inputs &amp; Validation Rules</t>
  </si>
  <si>
    <t>Data Dictionary</t>
  </si>
  <si>
    <t>Input Field</t>
  </si>
  <si>
    <t>Description</t>
  </si>
  <si>
    <t>Format</t>
  </si>
  <si>
    <t>Accepted Values / Range</t>
  </si>
  <si>
    <t>Validation / Notes</t>
  </si>
  <si>
    <t>Age</t>
  </si>
  <si>
    <t>Applicant age in years</t>
  </si>
  <si>
    <t>Integer</t>
  </si>
  <si>
    <t>&gt;= 0</t>
  </si>
  <si>
    <t>Must be ≥ 17 to proceed (Stage 1).</t>
  </si>
  <si>
    <t>Matric %</t>
  </si>
  <si>
    <t>Matriculation percentage</t>
  </si>
  <si>
    <t>Percentage</t>
  </si>
  <si>
    <t>0%–100%</t>
  </si>
  <si>
    <t>Collected; merit formula uses Inter + Test (design note).</t>
  </si>
  <si>
    <t>Intermediate %</t>
  </si>
  <si>
    <t>Intermediate percentage</t>
  </si>
  <si>
    <t>Must be ≥ 50% to proceed (Stage 1).</t>
  </si>
  <si>
    <t>Entry Test %</t>
  </si>
  <si>
    <t>Entry test percentage/score</t>
  </si>
  <si>
    <t>Used for selection and merit calculation.</t>
  </si>
  <si>
    <t>Stream</t>
  </si>
  <si>
    <t>Applicant academic stream</t>
  </si>
  <si>
    <t>List</t>
  </si>
  <si>
    <t>Pre-Medical, Pre-Engineering, ICS, Arts, Commerce</t>
  </si>
  <si>
    <t>Engineering requires Pre-Engineering stream.</t>
  </si>
  <si>
    <t>Non-Local (Hostel)</t>
  </si>
  <si>
    <t>Whether applicant is non-local and needs hostel</t>
  </si>
  <si>
    <t>Y/N</t>
  </si>
  <si>
    <t>Y or N</t>
  </si>
  <si>
    <t>Used for hostel eligibility decision.</t>
  </si>
  <si>
    <t>Monthly Family Income</t>
  </si>
  <si>
    <t>Monthly household income</t>
  </si>
  <si>
    <t>Number (PKR)</t>
  </si>
  <si>
    <t>Need-based aid check uses income ≤ 80,000 (and merit threshold).</t>
  </si>
  <si>
    <t>Applied Program</t>
  </si>
  <si>
    <t>Program the applicant applies to</t>
  </si>
  <si>
    <t>CS, Engineering, BBA, Arts</t>
  </si>
  <si>
    <t>Program choice must be 1–4 in the console menu (validation).</t>
  </si>
  <si>
    <t>Domicile</t>
  </si>
  <si>
    <t>Applicant domicile (document)</t>
  </si>
  <si>
    <t>Text</t>
  </si>
  <si>
    <t>Any</t>
  </si>
  <si>
    <t>Collected and required in admission documents list.</t>
  </si>
  <si>
    <t>Validation &amp; Early Exits (Stage 1)</t>
  </si>
  <si>
    <t>• Age must be ≥ 17; otherwise the system outputs Not Eligible and exits.</t>
  </si>
  <si>
    <t>• Intermediate % must be ≥ 50% to proceed to Stage 2.</t>
  </si>
  <si>
    <t>• Program choice is validated as 1–4 (CS, Engineering, BBA, Arts).</t>
  </si>
  <si>
    <t>• Engineering additionally requires stream = Pre-Engineering (as per design note).</t>
  </si>
  <si>
    <t>Admission Decision Rules (as implemented in the C++ console system)</t>
  </si>
  <si>
    <t>Stage 1 — Basic Eligibility</t>
  </si>
  <si>
    <t>Rule</t>
  </si>
  <si>
    <t>Condition</t>
  </si>
  <si>
    <t>Outcome</t>
  </si>
  <si>
    <t>Age Check</t>
  </si>
  <si>
    <t>Age ≥ 17</t>
  </si>
  <si>
    <t>If age &lt; 17 → Not Eligible (exit).</t>
  </si>
  <si>
    <t>Intermediate Check</t>
  </si>
  <si>
    <t>Intermediate % ≥ 50</t>
  </si>
  <si>
    <t>If inter &lt; 50 → Not Eligible (exit).</t>
  </si>
  <si>
    <t>Stream-based Department Suggestion (guidance)</t>
  </si>
  <si>
    <t>Suggested Department(s)</t>
  </si>
  <si>
    <t>Pre-Engineering</t>
  </si>
  <si>
    <t>CS or Engineering</t>
  </si>
  <si>
    <t>ICS</t>
  </si>
  <si>
    <t>Commerce</t>
  </si>
  <si>
    <t>Business (BBA)</t>
  </si>
  <si>
    <t>Arts</t>
  </si>
  <si>
    <t>Arts / Social Sciences</t>
  </si>
  <si>
    <t>Pre-Medical</t>
  </si>
  <si>
    <t>Arts or Business (fallback)</t>
  </si>
  <si>
    <t>Stage 2 — Program Selection Rules</t>
  </si>
  <si>
    <t>Program</t>
  </si>
  <si>
    <t>Age Max</t>
  </si>
  <si>
    <t>Required Stream</t>
  </si>
  <si>
    <t>Inter Min (%)</t>
  </si>
  <si>
    <t>Test Min (%)</t>
  </si>
  <si>
    <t>Notes</t>
  </si>
  <si>
    <t>CS</t>
  </si>
  <si>
    <t/>
  </si>
  <si>
    <t>Selected if Inter ≥ 60 AND Test ≥ 55 (observed in sample scenario).</t>
  </si>
  <si>
    <t>Engineering</t>
  </si>
  <si>
    <t>Rejected if age &gt; 23 OR stream ≠ Pre-Engineering; otherwise requires Inter ≥ 65 AND Test ≥ 60.</t>
  </si>
  <si>
    <t>BBA</t>
  </si>
  <si>
    <t>Rule thresholds not explicitly shown in the provided text extracts.</t>
  </si>
  <si>
    <t>Inferred: no extra Inter threshold beyond Stage 1 (Inter ≥ 50). Test threshold shown as 0.</t>
  </si>
  <si>
    <t>Merit Calculation &amp; Merit Category</t>
  </si>
  <si>
    <t>Merit Formula</t>
  </si>
  <si>
    <t>Merit % = (Intermediate % + Entry Test %) / 2</t>
  </si>
  <si>
    <t>Merit Categories (names)</t>
  </si>
  <si>
    <t>Open Merit, 2nd Merit List, Self Finance</t>
  </si>
  <si>
    <t>Note: Exact thresholds for merit categories are not explicitly stated in the provided text extracts. In the Decision Calculator sheet, thresholds are marked as 'Inferred' only when needed for a working model.</t>
  </si>
  <si>
    <t>Fee / Scholarship / Need-based Aid Rules</t>
  </si>
  <si>
    <t>Decision</t>
  </si>
  <si>
    <t>Output</t>
  </si>
  <si>
    <t>Merit Scholarship</t>
  </si>
  <si>
    <t>Intermediate ≥ 85 AND Test ≥ 70</t>
  </si>
  <si>
    <t>Scholarship Approved</t>
  </si>
  <si>
    <t>Need-based Aid</t>
  </si>
  <si>
    <t>Monthly income ≤ 80,000 AND Merit ≥ 70</t>
  </si>
  <si>
    <t>Need-based Aid Approved</t>
  </si>
  <si>
    <t>Normal Fee</t>
  </si>
  <si>
    <t>Otherwise</t>
  </si>
  <si>
    <t>Normal Fee Plan</t>
  </si>
  <si>
    <t>Hostel Eligibility &amp; Required Documents</t>
  </si>
  <si>
    <t>Hostel</t>
  </si>
  <si>
    <t>If Non‑Local = Y → Hostel Eligible; Priority High if Merit ≥ 80 (in presentation).</t>
  </si>
  <si>
    <t>Documents</t>
  </si>
  <si>
    <t>Required admission document checklist is listed below.</t>
  </si>
  <si>
    <t>Document</t>
  </si>
  <si>
    <t>CNIC / B‑Form</t>
  </si>
  <si>
    <t>Passport-size photographs</t>
  </si>
  <si>
    <t>Matric certificate</t>
  </si>
  <si>
    <t>Intermediate certificate</t>
  </si>
  <si>
    <t>Entry test result</t>
  </si>
  <si>
    <t>Domicile certificate</t>
  </si>
  <si>
    <t>Character certificate</t>
  </si>
  <si>
    <t>Admission Decision Calculator (Inputs → Automated Outputs)</t>
  </si>
  <si>
    <t>Applicant Inputs (editable cells are highlighted)</t>
  </si>
  <si>
    <t>Lookup Helpers (hidden)</t>
  </si>
  <si>
    <t>Age (years)</t>
  </si>
  <si>
    <t>InterMin</t>
  </si>
  <si>
    <t>TestMin</t>
  </si>
  <si>
    <t>AgeMax</t>
  </si>
  <si>
    <t>ReqStream</t>
  </si>
  <si>
    <t>Non-Local (Y/N)</t>
  </si>
  <si>
    <t>Monthly Family Income (PKR)</t>
  </si>
  <si>
    <t>Domicile (text)</t>
  </si>
  <si>
    <t>System Outputs (calculated)</t>
  </si>
  <si>
    <t>Stage 1 Status</t>
  </si>
  <si>
    <t>Program Selection Result</t>
  </si>
  <si>
    <t>Merit % ( (Inter + Test)/2 )</t>
  </si>
  <si>
    <t>Merit Category (Inferred thresholds)</t>
  </si>
  <si>
    <t>Fee / Scholarship Decision</t>
  </si>
  <si>
    <t>Hostel Eligibility</t>
  </si>
  <si>
    <t>Hostel Priority</t>
  </si>
  <si>
    <t>Required Documents (Checklist)</t>
  </si>
  <si>
    <t>CNIC / B-Form
Passport-size photographs
Matric certificate
Intermediate certificate
Entry test result
Domicile certificate
Character certificate</t>
  </si>
  <si>
    <t>Category Thresholds (Inferred for calculator; adjust only if your source code/report differs)</t>
  </si>
  <si>
    <t>Open Merit threshold</t>
  </si>
  <si>
    <t>2nd Merit List threshold</t>
  </si>
  <si>
    <t>Notes:
• Program selection rules for BBA (and some Arts thresholds) are not fully visible in the provided text extracts; if your source code/report specifies them, update the corresponding values in 'Admission Rules'.
• Merit category thresholds (80 and 70) are marked as INFERRED from context (hostel priority at 80; aid at 70).</t>
  </si>
  <si>
    <t>Sample Scenarios &amp; Expected Outputs</t>
  </si>
  <si>
    <t>Scenarios reproduced from the project presentation for manual verification</t>
  </si>
  <si>
    <t>Scenario</t>
  </si>
  <si>
    <t>Inter %</t>
  </si>
  <si>
    <t>Test %</t>
  </si>
  <si>
    <t>Non-Local</t>
  </si>
  <si>
    <t>Income (PKR)</t>
  </si>
  <si>
    <t>Stage 1</t>
  </si>
  <si>
    <t>Selection</t>
  </si>
  <si>
    <t>Merit %</t>
  </si>
  <si>
    <t>A (successful)</t>
  </si>
  <si>
    <t>Y</t>
  </si>
  <si>
    <t>B (rejected)</t>
  </si>
  <si>
    <t>Expected (from presentation):
• Scenario A: Stage 1 Passed; CS Selected (72 ≥ 60 and 66 ≥ 55); Merit ≈ 69%; Fee: Normal (aid requires merit ≥ 70); Hostel: Eligible (Non-local = Y).
• Scenario B: Stage 1 Passed; Engineering Rejected (age must be ≤ 23).</t>
  </si>
  <si>
    <t>Glossary (Terminologies &amp; Acronyms)</t>
  </si>
  <si>
    <t>Key Terminologies (used in the project)</t>
  </si>
  <si>
    <t>Term</t>
  </si>
  <si>
    <t>Meaning / Use in Project</t>
  </si>
  <si>
    <t>Conditional Statements (if / else if / else)</t>
  </si>
  <si>
    <t>Used to make decisions based on applicant inputs and predefined admission rules.</t>
  </si>
  <si>
    <t>Relational Operators (&lt;, &gt;, &gt;=, &lt;=)</t>
  </si>
  <si>
    <t>Used to compare values such as age, marks, and test scores.</t>
  </si>
  <si>
    <t>Input / Output (cin, cout)</t>
  </si>
  <si>
    <t>Used to take user input and display results in a console program.</t>
  </si>
  <si>
    <t>Merit Category</t>
  </si>
  <si>
    <t>Classification of applicants based on performance (e.g., Open Merit, 2nd Merit List, Self Finance).</t>
  </si>
  <si>
    <t>Decision Support System (DSS)</t>
  </si>
  <si>
    <t>Computer-based system that assists in decision-making using logical rules.</t>
  </si>
  <si>
    <t>Acronyms / Abbreviations</t>
  </si>
  <si>
    <t>Acronym</t>
  </si>
  <si>
    <t>Full Form</t>
  </si>
  <si>
    <t>ICT</t>
  </si>
  <si>
    <t>Information and Communication Technology</t>
  </si>
  <si>
    <t>Computer Science</t>
  </si>
  <si>
    <t>Bachelor of Business Administration</t>
  </si>
  <si>
    <t>GUI</t>
  </si>
  <si>
    <t>Graphical User Interface</t>
  </si>
  <si>
    <t>UI</t>
  </si>
  <si>
    <t>User Interface</t>
  </si>
  <si>
    <t>C++</t>
  </si>
  <si>
    <t>C Plus Plus (Programming Language)</t>
  </si>
  <si>
    <t>I/O</t>
  </si>
  <si>
    <t>Input / Output</t>
  </si>
  <si>
    <t>CNIC</t>
  </si>
  <si>
    <t>Computerized National Identity Card</t>
  </si>
  <si>
    <t>Merit Percentage</t>
  </si>
  <si>
    <t>Open Merit</t>
  </si>
  <si>
    <t>General Merit-Based Admission</t>
  </si>
  <si>
    <t>Self-Finance</t>
  </si>
  <si>
    <t>Admission based on self-funding</t>
  </si>
  <si>
    <t>Yes / No</t>
  </si>
  <si>
    <t>Source Files &amp; Traceability</t>
  </si>
  <si>
    <t>Source (as attached)</t>
  </si>
  <si>
    <t>Type</t>
  </si>
  <si>
    <t>Key data extracted</t>
  </si>
  <si>
    <t>Used in sheets</t>
  </si>
  <si>
    <t>Term Project Proposal (CUST)</t>
  </si>
  <si>
    <t>Project title, course title, team members, objectives, methodology overview</t>
  </si>
  <si>
    <t>Cover; Glossary; Admission Rules (high-level); Sources</t>
  </si>
  <si>
    <t>ICT Project Presentation</t>
  </si>
  <si>
    <t>Slides</t>
  </si>
  <si>
    <t>Stage 1 &amp; Stage 2 rules (CS/Engineering), merit formula, scholarship/aid logic, hostel &amp; document checklist, sample scenarios</t>
  </si>
  <si>
    <t>Admission Rules; Decision Calculator; Sample Scenarios</t>
  </si>
  <si>
    <t>Project Report (January 2026)</t>
  </si>
  <si>
    <t>Abstract/overview, project plan tables, tools/techniques, test-case descriptions, referenced outputs</t>
  </si>
  <si>
    <t>Project Plan; Cover; Inputs &amp; Validation; Sources</t>
  </si>
  <si>
    <t>Visual Studio Solution (.sln)</t>
  </si>
  <si>
    <t>Code/Config</t>
  </si>
  <si>
    <t>Build configurations and project structure (solution contains project projects)</t>
  </si>
  <si>
    <t>Sources (traceability)</t>
  </si>
  <si>
    <t>Sample Output Image(s) (if provided)</t>
  </si>
  <si>
    <t>Image</t>
  </si>
  <si>
    <t>Console output screenshots used as reference outputs (mentioned in report figures)</t>
  </si>
  <si>
    <t>Sample Scenarios (as text); Sources</t>
  </si>
  <si>
    <t>Project Code Files (within solution)</t>
  </si>
  <si>
    <t>Code</t>
  </si>
  <si>
    <t>Admission decision logic implemented in C++ (referenced in presentation as code rules)</t>
  </si>
  <si>
    <t>Admission Rules; Decision Calculator</t>
  </si>
  <si>
    <t>Supporting Images/Diagrams (flowchart/block diagram)</t>
  </si>
  <si>
    <t>Flowchart and block diagram referenced by report/presentation</t>
  </si>
  <si>
    <t>Sources; (visual references)</t>
  </si>
  <si>
    <t xml:space="preserve">Workbook Purpose:
This Excel file organizes project documentation and implements a rule-based calculator so evaluators can manually verify eligibility, selection, merit, fee/aids, hostel status, and required documents.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</si>
</sst>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3"/>
      <color rgb="FFFFFFFF"/>
      <name val="Calibri"/>
    </font>
    <font>
      <i/>
      <sz val="10"/>
      <color rgb="FF555555"/>
      <name val="Calibri"/>
    </font>
    <font>
      <b/>
      <sz val="14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E7EE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6D9EEB"/>
      </patternFill>
    </fill>
  </fills>
  <borders count="1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6" fillId="0" borderId="0" xfId="0" applyFont="1"/>
    <xf numFmtId="0" fontId="8" fillId="0" borderId="1" xfId="0" applyFont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center"/>
    </xf>
    <xf numFmtId="0" fontId="4" fillId="0" borderId="0" xfId="0" applyFont="1"/>
    <xf numFmtId="164" fontId="9" fillId="7" borderId="1" xfId="0" applyNumberFormat="1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top" wrapText="1"/>
    </xf>
    <xf numFmtId="164" fontId="4" fillId="8" borderId="1" xfId="0" applyNumberFormat="1" applyFont="1" applyFill="1" applyBorder="1" applyAlignment="1">
      <alignment horizontal="left" vertical="top" wrapText="1"/>
    </xf>
    <xf numFmtId="1" fontId="9" fillId="7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0" fillId="0" borderId="6" xfId="0" applyFont="1" applyBorder="1"/>
    <xf numFmtId="0" fontId="8" fillId="8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6" borderId="1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4" fillId="4" borderId="1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eam" displayName="tblTeam" ref="B12:D14">
  <autoFilter ref="B12:D14" xr:uid="{00000000-0009-0000-0100-000001000000}"/>
  <tableColumns count="3">
    <tableColumn id="2" xr3:uid="{00000000-0010-0000-0000-000002000000}" name="S#"/>
    <tableColumn id="3" xr3:uid="{00000000-0010-0000-0000-000003000000}" name="Student Name"/>
    <tableColumn id="4" xr3:uid="{00000000-0010-0000-0000-000004000000}" name="Registration No.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lanPart1" displayName="tblPlanPart1" ref="A5:D10">
  <autoFilter ref="A5:D10" xr:uid="{00000000-0009-0000-0100-000002000000}"/>
  <tableColumns count="4">
    <tableColumn id="1" xr3:uid="{00000000-0010-0000-0100-000001000000}" name="S#"/>
    <tableColumn id="2" xr3:uid="{00000000-0010-0000-0100-000002000000}" name="Task"/>
    <tableColumn id="3" xr3:uid="{00000000-0010-0000-0100-000003000000}" name="Duration (Weeks)"/>
    <tableColumn id="4" xr3:uid="{00000000-0010-0000-0100-000004000000}" name="Resource Per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lanPart2" displayName="tblPlanPart2" ref="A13:D18">
  <autoFilter ref="A13:D18" xr:uid="{00000000-0009-0000-0100-000003000000}"/>
  <tableColumns count="4">
    <tableColumn id="1" xr3:uid="{00000000-0010-0000-0200-000001000000}" name="S#"/>
    <tableColumn id="2" xr3:uid="{00000000-0010-0000-0200-000002000000}" name="Task"/>
    <tableColumn id="3" xr3:uid="{00000000-0010-0000-0200-000003000000}" name="Duration (Weeks)"/>
    <tableColumn id="4" xr3:uid="{00000000-0010-0000-0200-000004000000}" name="Resource Per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puts" displayName="tblInputs" ref="A5:E14">
  <autoFilter ref="A5:E14" xr:uid="{00000000-0009-0000-0100-000004000000}"/>
  <tableColumns count="5">
    <tableColumn id="1" xr3:uid="{00000000-0010-0000-0300-000001000000}" name="Input Field"/>
    <tableColumn id="2" xr3:uid="{00000000-0010-0000-0300-000002000000}" name="Description"/>
    <tableColumn id="3" xr3:uid="{00000000-0010-0000-0300-000003000000}" name="Format"/>
    <tableColumn id="4" xr3:uid="{00000000-0010-0000-0300-000004000000}" name="Accepted Values / Range"/>
    <tableColumn id="5" xr3:uid="{00000000-0010-0000-0300-000005000000}" name="Validation / 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gramRules" displayName="tblProgramRules" ref="A18:F22">
  <autoFilter ref="A18:F22" xr:uid="{00000000-0009-0000-0100-000005000000}"/>
  <tableColumns count="6">
    <tableColumn id="1" xr3:uid="{00000000-0010-0000-0400-000001000000}" name="Program"/>
    <tableColumn id="2" xr3:uid="{00000000-0010-0000-0400-000002000000}" name="Age Max"/>
    <tableColumn id="3" xr3:uid="{00000000-0010-0000-0400-000003000000}" name="Required Stream"/>
    <tableColumn id="4" xr3:uid="{00000000-0010-0000-0400-000004000000}" name="Inter Min (%)"/>
    <tableColumn id="5" xr3:uid="{00000000-0010-0000-0400-000005000000}" name="Test Min (%)"/>
    <tableColumn id="6" xr3:uid="{00000000-0010-0000-0400-000006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reamSuggest" displayName="tblStreamSuggest" ref="A10:B15">
  <autoFilter ref="A10:B15" xr:uid="{00000000-0009-0000-0100-000006000000}"/>
  <tableColumns count="2">
    <tableColumn id="1" xr3:uid="{00000000-0010-0000-0500-000001000000}" name="Stream"/>
    <tableColumn id="2" xr3:uid="{00000000-0010-0000-0500-000002000000}" name="Suggested Department(s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FeeRules" displayName="tblFeeRules" ref="A32:C35">
  <autoFilter ref="A32:C35" xr:uid="{00000000-0009-0000-0100-000007000000}"/>
  <tableColumns count="3">
    <tableColumn id="1" xr3:uid="{00000000-0010-0000-0600-000001000000}" name="Decision"/>
    <tableColumn id="2" xr3:uid="{00000000-0010-0000-0600-000002000000}" name="Condition"/>
    <tableColumn id="3" xr3:uid="{00000000-0010-0000-0600-000003000000}" name="Outpu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ocs" displayName="tblDocs" ref="A41:B48">
  <autoFilter ref="A41:B48" xr:uid="{00000000-0009-0000-0100-000008000000}"/>
  <tableColumns count="2">
    <tableColumn id="1" xr3:uid="{00000000-0010-0000-0700-000001000000}" name="S#"/>
    <tableColumn id="2" xr3:uid="{00000000-0010-0000-0700-000002000000}" name="Docum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erms" displayName="tblTerms" ref="A5:B10">
  <autoFilter ref="A5:B10" xr:uid="{00000000-0009-0000-0100-000009000000}"/>
  <tableColumns count="2">
    <tableColumn id="1" xr3:uid="{00000000-0010-0000-0800-000001000000}" name="Term"/>
    <tableColumn id="2" xr3:uid="{00000000-0010-0000-0800-000002000000}" name="Meaning / Use in Projec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cronyms" displayName="tblAcronyms" ref="A14:B26">
  <autoFilter ref="A14:B26" xr:uid="{00000000-0009-0000-0100-00000A000000}"/>
  <tableColumns count="2">
    <tableColumn id="1" xr3:uid="{00000000-0010-0000-0900-000001000000}" name="Acronym"/>
    <tableColumn id="2" xr3:uid="{00000000-0010-0000-0900-000002000000}" name="Full Form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Sources" displayName="tblSources" ref="A6:D13">
  <autoFilter ref="A6:D13" xr:uid="{00000000-0009-0000-0100-00000B000000}"/>
  <tableColumns count="4">
    <tableColumn id="1" xr3:uid="{00000000-0010-0000-0A00-000001000000}" name="Source (as attached)"/>
    <tableColumn id="2" xr3:uid="{00000000-0010-0000-0A00-000002000000}" name="Type"/>
    <tableColumn id="3" xr3:uid="{00000000-0010-0000-0A00-000003000000}" name="Key data extracted"/>
    <tableColumn id="4" xr3:uid="{00000000-0010-0000-0A00-000004000000}" name="Used in shee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"/>
  <sheetViews>
    <sheetView showGridLines="0" topLeftCell="A2" workbookViewId="0">
      <selection activeCell="B16" sqref="B16:G18"/>
    </sheetView>
  </sheetViews>
  <sheetFormatPr defaultRowHeight="14.4"/>
  <cols>
    <col min="1" max="1" width="4" customWidth="1"/>
    <col min="2" max="7" width="18" customWidth="1"/>
    <col min="8" max="8" width="4" customWidth="1"/>
  </cols>
  <sheetData>
    <row r="2" spans="2:7">
      <c r="B2" s="27" t="s">
        <v>0</v>
      </c>
      <c r="C2" s="28"/>
      <c r="D2" s="28"/>
      <c r="E2" s="28"/>
      <c r="F2" s="28"/>
      <c r="G2" s="29"/>
    </row>
    <row r="3" spans="2:7">
      <c r="B3" s="30"/>
      <c r="C3" s="31"/>
      <c r="D3" s="31"/>
      <c r="E3" s="31"/>
      <c r="F3" s="31"/>
      <c r="G3" s="32"/>
    </row>
    <row r="4" spans="2:7">
      <c r="B4" s="40" t="s">
        <v>1</v>
      </c>
      <c r="C4" s="37"/>
      <c r="D4" s="37"/>
      <c r="E4" s="37"/>
      <c r="F4" s="37"/>
      <c r="G4" s="38"/>
    </row>
    <row r="6" spans="2:7">
      <c r="B6" s="39" t="s">
        <v>2</v>
      </c>
      <c r="C6" s="37"/>
      <c r="D6" s="38"/>
      <c r="E6" s="36" t="s">
        <v>3</v>
      </c>
      <c r="F6" s="37"/>
      <c r="G6" s="38"/>
    </row>
    <row r="7" spans="2:7">
      <c r="B7" s="39" t="s">
        <v>4</v>
      </c>
      <c r="C7" s="37"/>
      <c r="D7" s="38"/>
      <c r="E7" s="36" t="s">
        <v>5</v>
      </c>
      <c r="F7" s="37"/>
      <c r="G7" s="38"/>
    </row>
    <row r="8" spans="2:7">
      <c r="B8" s="39" t="s">
        <v>6</v>
      </c>
      <c r="C8" s="37"/>
      <c r="D8" s="38"/>
      <c r="E8" s="36" t="s">
        <v>7</v>
      </c>
      <c r="F8" s="37"/>
      <c r="G8" s="38"/>
    </row>
    <row r="9" spans="2:7">
      <c r="B9" s="39" t="s">
        <v>8</v>
      </c>
      <c r="C9" s="37"/>
      <c r="D9" s="38"/>
      <c r="E9" s="36" t="s">
        <v>9</v>
      </c>
      <c r="F9" s="37"/>
      <c r="G9" s="38"/>
    </row>
    <row r="11" spans="2:7" ht="17.399999999999999">
      <c r="B11" s="41" t="s">
        <v>10</v>
      </c>
      <c r="C11" s="37"/>
      <c r="D11" s="37"/>
      <c r="E11" s="37"/>
      <c r="F11" s="37"/>
      <c r="G11" s="38"/>
    </row>
    <row r="12" spans="2:7">
      <c r="B12" s="2" t="s">
        <v>11</v>
      </c>
      <c r="C12" s="2" t="s">
        <v>12</v>
      </c>
      <c r="D12" s="2" t="s">
        <v>13</v>
      </c>
    </row>
    <row r="13" spans="2:7">
      <c r="B13" s="3">
        <v>1</v>
      </c>
      <c r="C13" s="4" t="s">
        <v>14</v>
      </c>
      <c r="D13" s="4" t="s">
        <v>15</v>
      </c>
    </row>
    <row r="14" spans="2:7">
      <c r="B14" s="3">
        <v>2</v>
      </c>
      <c r="C14" s="4" t="s">
        <v>16</v>
      </c>
      <c r="D14" s="4" t="s">
        <v>17</v>
      </c>
    </row>
    <row r="16" spans="2:7" ht="48" customHeight="1">
      <c r="B16" s="33" t="s">
        <v>263</v>
      </c>
      <c r="C16" s="28"/>
      <c r="D16" s="28"/>
      <c r="E16" s="28"/>
      <c r="F16" s="28"/>
      <c r="G16" s="29"/>
    </row>
    <row r="17" spans="2:7" ht="48" customHeight="1">
      <c r="B17" s="34"/>
      <c r="C17" s="26"/>
      <c r="D17" s="26"/>
      <c r="E17" s="26"/>
      <c r="F17" s="26"/>
      <c r="G17" s="35"/>
    </row>
    <row r="18" spans="2:7" ht="48" customHeight="1">
      <c r="B18" s="30"/>
      <c r="C18" s="31"/>
      <c r="D18" s="31"/>
      <c r="E18" s="31"/>
      <c r="F18" s="31"/>
      <c r="G18" s="32"/>
    </row>
    <row r="20" spans="2:7">
      <c r="B20" s="25"/>
      <c r="C20" s="26"/>
      <c r="D20" s="26"/>
      <c r="E20" s="26"/>
      <c r="F20" s="26"/>
      <c r="G20" s="26"/>
    </row>
  </sheetData>
  <mergeCells count="13">
    <mergeCell ref="B20:G20"/>
    <mergeCell ref="B2:G3"/>
    <mergeCell ref="B16:G18"/>
    <mergeCell ref="E7:G7"/>
    <mergeCell ref="B8:D8"/>
    <mergeCell ref="E8:G8"/>
    <mergeCell ref="B9:D9"/>
    <mergeCell ref="B4:G4"/>
    <mergeCell ref="E9:G9"/>
    <mergeCell ref="B7:D7"/>
    <mergeCell ref="B6:D6"/>
    <mergeCell ref="E6:G6"/>
    <mergeCell ref="B11:G1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tabSelected="1" workbookViewId="0">
      <selection activeCell="C23" sqref="C23"/>
    </sheetView>
  </sheetViews>
  <sheetFormatPr defaultRowHeight="14.4"/>
  <cols>
    <col min="1" max="1" width="4" customWidth="1"/>
    <col min="2" max="2" width="48" customWidth="1"/>
    <col min="3" max="3" width="14" customWidth="1"/>
    <col min="4" max="4" width="28" customWidth="1"/>
    <col min="5" max="5" width="4" customWidth="1"/>
  </cols>
  <sheetData>
    <row r="1" spans="1:5">
      <c r="A1" s="27" t="s">
        <v>18</v>
      </c>
      <c r="B1" s="28"/>
      <c r="C1" s="28"/>
      <c r="D1" s="28"/>
      <c r="E1" s="29"/>
    </row>
    <row r="2" spans="1:5">
      <c r="A2" s="30"/>
      <c r="B2" s="31"/>
      <c r="C2" s="31"/>
      <c r="D2" s="31"/>
      <c r="E2" s="32"/>
    </row>
    <row r="4" spans="1:5">
      <c r="A4" s="43" t="s">
        <v>19</v>
      </c>
      <c r="B4" s="37"/>
      <c r="C4" s="37"/>
      <c r="D4" s="38"/>
    </row>
    <row r="5" spans="1:5" ht="28.8">
      <c r="A5" s="2" t="s">
        <v>11</v>
      </c>
      <c r="B5" s="2" t="s">
        <v>20</v>
      </c>
      <c r="C5" s="2" t="s">
        <v>21</v>
      </c>
      <c r="D5" s="2" t="s">
        <v>22</v>
      </c>
    </row>
    <row r="6" spans="1:5">
      <c r="A6" s="3">
        <v>1</v>
      </c>
      <c r="B6" s="4" t="s">
        <v>23</v>
      </c>
      <c r="C6" s="3">
        <v>1</v>
      </c>
      <c r="D6" s="4" t="s">
        <v>14</v>
      </c>
    </row>
    <row r="7" spans="1:5">
      <c r="A7" s="3">
        <v>2</v>
      </c>
      <c r="B7" s="4" t="s">
        <v>24</v>
      </c>
      <c r="C7" s="3">
        <v>1</v>
      </c>
      <c r="D7" s="4" t="s">
        <v>25</v>
      </c>
    </row>
    <row r="8" spans="1:5">
      <c r="A8" s="3">
        <v>3</v>
      </c>
      <c r="B8" s="4" t="s">
        <v>26</v>
      </c>
      <c r="C8" s="3">
        <v>1</v>
      </c>
      <c r="D8" s="4" t="s">
        <v>16</v>
      </c>
    </row>
    <row r="9" spans="1:5">
      <c r="A9" s="3">
        <v>4</v>
      </c>
      <c r="B9" s="4" t="s">
        <v>27</v>
      </c>
      <c r="C9" s="3">
        <v>1</v>
      </c>
      <c r="D9" s="4" t="s">
        <v>14</v>
      </c>
    </row>
    <row r="10" spans="1:5">
      <c r="A10" s="3">
        <v>5</v>
      </c>
      <c r="B10" s="4" t="s">
        <v>28</v>
      </c>
      <c r="C10" s="3">
        <v>1</v>
      </c>
      <c r="D10" s="4" t="s">
        <v>16</v>
      </c>
    </row>
    <row r="12" spans="1:5">
      <c r="A12" s="43" t="s">
        <v>29</v>
      </c>
      <c r="B12" s="37"/>
      <c r="C12" s="37"/>
      <c r="D12" s="38"/>
    </row>
    <row r="13" spans="1:5" ht="28.8">
      <c r="A13" s="2" t="s">
        <v>11</v>
      </c>
      <c r="B13" s="2" t="s">
        <v>20</v>
      </c>
      <c r="C13" s="2" t="s">
        <v>21</v>
      </c>
      <c r="D13" s="2" t="s">
        <v>22</v>
      </c>
    </row>
    <row r="14" spans="1:5">
      <c r="A14" s="3">
        <v>1</v>
      </c>
      <c r="B14" s="4" t="s">
        <v>30</v>
      </c>
      <c r="C14" s="3">
        <v>2</v>
      </c>
      <c r="D14" s="4" t="s">
        <v>14</v>
      </c>
    </row>
    <row r="15" spans="1:5">
      <c r="A15" s="3">
        <v>2</v>
      </c>
      <c r="B15" s="4" t="s">
        <v>31</v>
      </c>
      <c r="C15" s="3">
        <v>1</v>
      </c>
      <c r="D15" s="4" t="s">
        <v>25</v>
      </c>
    </row>
    <row r="16" spans="1:5">
      <c r="A16" s="3">
        <v>3</v>
      </c>
      <c r="B16" s="4" t="s">
        <v>32</v>
      </c>
      <c r="C16" s="3">
        <v>1</v>
      </c>
      <c r="D16" s="4" t="s">
        <v>16</v>
      </c>
    </row>
    <row r="17" spans="1:4">
      <c r="A17" s="3">
        <v>4</v>
      </c>
      <c r="B17" s="4" t="s">
        <v>33</v>
      </c>
      <c r="C17" s="3">
        <v>1</v>
      </c>
      <c r="D17" s="4" t="s">
        <v>14</v>
      </c>
    </row>
    <row r="18" spans="1:4">
      <c r="A18" s="3">
        <v>5</v>
      </c>
      <c r="B18" s="4" t="s">
        <v>34</v>
      </c>
      <c r="C18" s="3">
        <v>1</v>
      </c>
      <c r="D18" s="4" t="s">
        <v>16</v>
      </c>
    </row>
    <row r="20" spans="1:4">
      <c r="A20" s="42" t="s">
        <v>35</v>
      </c>
      <c r="B20" s="28"/>
      <c r="C20" s="28"/>
      <c r="D20" s="29"/>
    </row>
    <row r="21" spans="1:4">
      <c r="A21" s="30"/>
      <c r="B21" s="31"/>
      <c r="C21" s="31"/>
      <c r="D21" s="32"/>
    </row>
    <row r="23" spans="1:4">
      <c r="B23" s="5" t="s">
        <v>36</v>
      </c>
      <c r="C23" s="6">
        <f>SUM(C6:C10)+SUM(C14:C18)</f>
        <v>11</v>
      </c>
    </row>
    <row r="24" spans="1:4">
      <c r="B24" s="5" t="s">
        <v>37</v>
      </c>
      <c r="C24" s="6">
        <f>COUNTA(A6:A10)+COUNTA(A14:A18)</f>
        <v>10</v>
      </c>
    </row>
  </sheetData>
  <mergeCells count="4">
    <mergeCell ref="A20:D21"/>
    <mergeCell ref="A12:D12"/>
    <mergeCell ref="A4:D4"/>
    <mergeCell ref="A1:E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workbookViewId="0">
      <selection sqref="A1:E2"/>
    </sheetView>
  </sheetViews>
  <sheetFormatPr defaultRowHeight="14.4"/>
  <cols>
    <col min="1" max="1" width="22" customWidth="1"/>
    <col min="2" max="2" width="44" customWidth="1"/>
    <col min="3" max="3" width="16" customWidth="1"/>
    <col min="4" max="4" width="34" customWidth="1"/>
    <col min="5" max="5" width="18" customWidth="1"/>
  </cols>
  <sheetData>
    <row r="1" spans="1:5">
      <c r="A1" s="27" t="s">
        <v>38</v>
      </c>
      <c r="B1" s="28"/>
      <c r="C1" s="28"/>
      <c r="D1" s="28"/>
      <c r="E1" s="29"/>
    </row>
    <row r="2" spans="1:5">
      <c r="A2" s="30"/>
      <c r="B2" s="31"/>
      <c r="C2" s="31"/>
      <c r="D2" s="31"/>
      <c r="E2" s="32"/>
    </row>
    <row r="4" spans="1:5">
      <c r="A4" s="43" t="s">
        <v>39</v>
      </c>
      <c r="B4" s="37"/>
      <c r="C4" s="37"/>
      <c r="D4" s="37"/>
      <c r="E4" s="38"/>
    </row>
    <row r="5" spans="1: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</row>
    <row r="6" spans="1:5" ht="28.8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</row>
    <row r="7" spans="1:5" ht="43.2">
      <c r="A7" s="4" t="s">
        <v>50</v>
      </c>
      <c r="B7" s="4" t="s">
        <v>51</v>
      </c>
      <c r="C7" s="7" t="s">
        <v>52</v>
      </c>
      <c r="D7" s="4" t="s">
        <v>53</v>
      </c>
      <c r="E7" s="4" t="s">
        <v>54</v>
      </c>
    </row>
    <row r="8" spans="1:5" ht="28.8">
      <c r="A8" s="4" t="s">
        <v>55</v>
      </c>
      <c r="B8" s="4" t="s">
        <v>56</v>
      </c>
      <c r="C8" s="7" t="s">
        <v>52</v>
      </c>
      <c r="D8" s="4" t="s">
        <v>53</v>
      </c>
      <c r="E8" s="4" t="s">
        <v>57</v>
      </c>
    </row>
    <row r="9" spans="1:5" ht="43.2">
      <c r="A9" s="4" t="s">
        <v>58</v>
      </c>
      <c r="B9" s="4" t="s">
        <v>59</v>
      </c>
      <c r="C9" s="7" t="s">
        <v>52</v>
      </c>
      <c r="D9" s="4" t="s">
        <v>53</v>
      </c>
      <c r="E9" s="4" t="s">
        <v>60</v>
      </c>
    </row>
    <row r="10" spans="1:5" ht="43.2">
      <c r="A10" s="4" t="s">
        <v>61</v>
      </c>
      <c r="B10" s="4" t="s">
        <v>62</v>
      </c>
      <c r="C10" s="4" t="s">
        <v>63</v>
      </c>
      <c r="D10" s="4" t="s">
        <v>64</v>
      </c>
      <c r="E10" s="4" t="s">
        <v>65</v>
      </c>
    </row>
    <row r="11" spans="1:5" ht="28.8">
      <c r="A11" s="4" t="s">
        <v>66</v>
      </c>
      <c r="B11" s="4" t="s">
        <v>67</v>
      </c>
      <c r="C11" s="4" t="s">
        <v>68</v>
      </c>
      <c r="D11" s="4" t="s">
        <v>69</v>
      </c>
      <c r="E11" s="4" t="s">
        <v>70</v>
      </c>
    </row>
    <row r="12" spans="1:5" ht="57.6">
      <c r="A12" s="4" t="s">
        <v>71</v>
      </c>
      <c r="B12" s="4" t="s">
        <v>72</v>
      </c>
      <c r="C12" s="4" t="s">
        <v>73</v>
      </c>
      <c r="D12" s="4" t="s">
        <v>48</v>
      </c>
      <c r="E12" s="4" t="s">
        <v>74</v>
      </c>
    </row>
    <row r="13" spans="1:5" ht="57.6">
      <c r="A13" s="4" t="s">
        <v>75</v>
      </c>
      <c r="B13" s="4" t="s">
        <v>76</v>
      </c>
      <c r="C13" s="4" t="s">
        <v>63</v>
      </c>
      <c r="D13" s="4" t="s">
        <v>77</v>
      </c>
      <c r="E13" s="4" t="s">
        <v>78</v>
      </c>
    </row>
    <row r="14" spans="1:5" ht="57.6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83</v>
      </c>
    </row>
    <row r="18" spans="1:5">
      <c r="A18" s="43" t="s">
        <v>84</v>
      </c>
      <c r="B18" s="37"/>
      <c r="C18" s="37"/>
      <c r="D18" s="37"/>
      <c r="E18" s="38"/>
    </row>
    <row r="19" spans="1:5">
      <c r="A19" s="44" t="s">
        <v>85</v>
      </c>
      <c r="B19" s="37"/>
      <c r="C19" s="37"/>
      <c r="D19" s="37"/>
      <c r="E19" s="38"/>
    </row>
    <row r="20" spans="1:5">
      <c r="A20" s="44" t="s">
        <v>86</v>
      </c>
      <c r="B20" s="37"/>
      <c r="C20" s="37"/>
      <c r="D20" s="37"/>
      <c r="E20" s="38"/>
    </row>
    <row r="21" spans="1:5">
      <c r="A21" s="44" t="s">
        <v>87</v>
      </c>
      <c r="B21" s="37"/>
      <c r="C21" s="37"/>
      <c r="D21" s="37"/>
      <c r="E21" s="38"/>
    </row>
    <row r="22" spans="1:5">
      <c r="A22" s="44" t="s">
        <v>88</v>
      </c>
      <c r="B22" s="37"/>
      <c r="C22" s="37"/>
      <c r="D22" s="37"/>
      <c r="E22" s="38"/>
    </row>
  </sheetData>
  <mergeCells count="7">
    <mergeCell ref="A22:E22"/>
    <mergeCell ref="A18:E18"/>
    <mergeCell ref="A21:E21"/>
    <mergeCell ref="A4:E4"/>
    <mergeCell ref="A20:E20"/>
    <mergeCell ref="A19:E19"/>
    <mergeCell ref="A1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showGridLines="0" topLeftCell="A28" workbookViewId="0">
      <selection activeCell="A28" sqref="A28:F29"/>
    </sheetView>
  </sheetViews>
  <sheetFormatPr defaultRowHeight="14.4"/>
  <cols>
    <col min="1" max="1" width="22" customWidth="1"/>
    <col min="2" max="2" width="36" customWidth="1"/>
    <col min="3" max="4" width="18" customWidth="1"/>
    <col min="5" max="5" width="24" customWidth="1"/>
    <col min="6" max="6" width="30" customWidth="1"/>
  </cols>
  <sheetData>
    <row r="1" spans="1:6">
      <c r="A1" s="27" t="s">
        <v>89</v>
      </c>
      <c r="B1" s="28"/>
      <c r="C1" s="28"/>
      <c r="D1" s="28"/>
      <c r="E1" s="28"/>
      <c r="F1" s="29"/>
    </row>
    <row r="2" spans="1:6">
      <c r="A2" s="30"/>
      <c r="B2" s="31"/>
      <c r="C2" s="31"/>
      <c r="D2" s="31"/>
      <c r="E2" s="31"/>
      <c r="F2" s="32"/>
    </row>
    <row r="4" spans="1:6">
      <c r="A4" s="43" t="s">
        <v>90</v>
      </c>
      <c r="B4" s="37"/>
      <c r="C4" s="37"/>
      <c r="D4" s="37"/>
      <c r="E4" s="37"/>
      <c r="F4" s="38"/>
    </row>
    <row r="5" spans="1:6">
      <c r="A5" s="2" t="s">
        <v>91</v>
      </c>
      <c r="B5" s="2" t="s">
        <v>92</v>
      </c>
      <c r="C5" s="47" t="s">
        <v>93</v>
      </c>
      <c r="D5" s="37"/>
      <c r="E5" s="37"/>
      <c r="F5" s="38"/>
    </row>
    <row r="6" spans="1:6">
      <c r="A6" s="4" t="s">
        <v>94</v>
      </c>
      <c r="B6" s="4" t="s">
        <v>95</v>
      </c>
      <c r="C6" s="44" t="s">
        <v>96</v>
      </c>
      <c r="D6" s="37"/>
      <c r="E6" s="37"/>
      <c r="F6" s="38"/>
    </row>
    <row r="7" spans="1:6">
      <c r="A7" s="4" t="s">
        <v>97</v>
      </c>
      <c r="B7" s="4" t="s">
        <v>98</v>
      </c>
      <c r="C7" s="44" t="s">
        <v>99</v>
      </c>
      <c r="D7" s="37"/>
      <c r="E7" s="37"/>
      <c r="F7" s="38"/>
    </row>
    <row r="9" spans="1:6">
      <c r="A9" s="43" t="s">
        <v>100</v>
      </c>
      <c r="B9" s="37"/>
      <c r="C9" s="37"/>
      <c r="D9" s="37"/>
      <c r="E9" s="37"/>
      <c r="F9" s="38"/>
    </row>
    <row r="10" spans="1:6">
      <c r="A10" s="2" t="s">
        <v>61</v>
      </c>
      <c r="B10" s="2" t="s">
        <v>101</v>
      </c>
      <c r="C10" s="22"/>
      <c r="D10" s="22"/>
      <c r="E10" s="22"/>
      <c r="F10" s="22"/>
    </row>
    <row r="11" spans="1:6">
      <c r="A11" s="23" t="s">
        <v>102</v>
      </c>
      <c r="B11" s="16" t="s">
        <v>103</v>
      </c>
      <c r="C11" s="22"/>
      <c r="D11" s="22"/>
      <c r="E11" s="22"/>
      <c r="F11" s="22"/>
    </row>
    <row r="12" spans="1:6">
      <c r="A12" s="23" t="s">
        <v>104</v>
      </c>
      <c r="B12" s="16" t="s">
        <v>103</v>
      </c>
      <c r="C12" s="22"/>
      <c r="D12" s="22"/>
      <c r="E12" s="22"/>
      <c r="F12" s="22"/>
    </row>
    <row r="13" spans="1:6">
      <c r="A13" s="23" t="s">
        <v>105</v>
      </c>
      <c r="B13" s="16" t="s">
        <v>106</v>
      </c>
      <c r="C13" s="22"/>
      <c r="D13" s="22"/>
      <c r="E13" s="22"/>
      <c r="F13" s="22"/>
    </row>
    <row r="14" spans="1:6">
      <c r="A14" s="23" t="s">
        <v>107</v>
      </c>
      <c r="B14" s="16" t="s">
        <v>108</v>
      </c>
      <c r="C14" s="22"/>
      <c r="D14" s="22"/>
      <c r="E14" s="22"/>
      <c r="F14" s="22"/>
    </row>
    <row r="15" spans="1:6">
      <c r="A15" s="23" t="s">
        <v>109</v>
      </c>
      <c r="B15" s="16" t="s">
        <v>110</v>
      </c>
      <c r="C15" s="22"/>
      <c r="D15" s="22"/>
      <c r="E15" s="22"/>
      <c r="F15" s="22"/>
    </row>
    <row r="17" spans="1:6">
      <c r="A17" s="43" t="s">
        <v>111</v>
      </c>
      <c r="B17" s="37"/>
      <c r="C17" s="37"/>
      <c r="D17" s="37"/>
      <c r="E17" s="37"/>
      <c r="F17" s="38"/>
    </row>
    <row r="18" spans="1:6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117</v>
      </c>
    </row>
    <row r="19" spans="1:6" ht="28.8">
      <c r="A19" s="4" t="s">
        <v>118</v>
      </c>
      <c r="B19" s="3" t="s">
        <v>119</v>
      </c>
      <c r="C19" s="4" t="s">
        <v>82</v>
      </c>
      <c r="D19" s="8">
        <v>60</v>
      </c>
      <c r="E19" s="8">
        <v>55</v>
      </c>
      <c r="F19" s="4" t="s">
        <v>120</v>
      </c>
    </row>
    <row r="20" spans="1:6" ht="43.2">
      <c r="A20" s="4" t="s">
        <v>121</v>
      </c>
      <c r="B20" s="3">
        <v>23</v>
      </c>
      <c r="C20" s="4" t="s">
        <v>102</v>
      </c>
      <c r="D20" s="8">
        <v>65</v>
      </c>
      <c r="E20" s="8">
        <v>60</v>
      </c>
      <c r="F20" s="4" t="s">
        <v>122</v>
      </c>
    </row>
    <row r="21" spans="1:6" ht="43.2">
      <c r="A21" s="4" t="s">
        <v>123</v>
      </c>
      <c r="B21" s="3" t="s">
        <v>119</v>
      </c>
      <c r="C21" s="4" t="s">
        <v>119</v>
      </c>
      <c r="D21" s="3" t="s">
        <v>119</v>
      </c>
      <c r="E21" s="3" t="s">
        <v>119</v>
      </c>
      <c r="F21" s="4" t="s">
        <v>124</v>
      </c>
    </row>
    <row r="22" spans="1:6" ht="43.2">
      <c r="A22" s="4" t="s">
        <v>107</v>
      </c>
      <c r="B22" s="3" t="s">
        <v>119</v>
      </c>
      <c r="C22" s="4" t="s">
        <v>119</v>
      </c>
      <c r="D22" s="8">
        <v>50</v>
      </c>
      <c r="E22" s="8">
        <v>0</v>
      </c>
      <c r="F22" s="4" t="s">
        <v>125</v>
      </c>
    </row>
    <row r="25" spans="1:6">
      <c r="A25" s="43" t="s">
        <v>126</v>
      </c>
      <c r="B25" s="37"/>
      <c r="C25" s="37"/>
      <c r="D25" s="37"/>
      <c r="E25" s="37"/>
      <c r="F25" s="38"/>
    </row>
    <row r="26" spans="1:6">
      <c r="A26" s="9" t="s">
        <v>127</v>
      </c>
      <c r="B26" s="48" t="s">
        <v>128</v>
      </c>
      <c r="C26" s="37"/>
      <c r="D26" s="37"/>
      <c r="E26" s="37"/>
      <c r="F26" s="38"/>
    </row>
    <row r="27" spans="1:6">
      <c r="A27" s="1" t="s">
        <v>129</v>
      </c>
      <c r="B27" s="45" t="s">
        <v>130</v>
      </c>
      <c r="C27" s="37"/>
      <c r="D27" s="37"/>
      <c r="E27" s="37"/>
      <c r="F27" s="38"/>
    </row>
    <row r="28" spans="1:6">
      <c r="A28" s="42" t="s">
        <v>131</v>
      </c>
      <c r="B28" s="28"/>
      <c r="C28" s="28"/>
      <c r="D28" s="28"/>
      <c r="E28" s="28"/>
      <c r="F28" s="29"/>
    </row>
    <row r="29" spans="1:6">
      <c r="A29" s="30"/>
      <c r="B29" s="31"/>
      <c r="C29" s="31"/>
      <c r="D29" s="31"/>
      <c r="E29" s="31"/>
      <c r="F29" s="32"/>
    </row>
    <row r="31" spans="1:6">
      <c r="A31" s="43" t="s">
        <v>132</v>
      </c>
      <c r="B31" s="37"/>
      <c r="C31" s="37"/>
      <c r="D31" s="37"/>
      <c r="E31" s="37"/>
      <c r="F31" s="38"/>
    </row>
    <row r="32" spans="1:6">
      <c r="A32" s="24" t="s">
        <v>133</v>
      </c>
      <c r="B32" s="24" t="s">
        <v>92</v>
      </c>
      <c r="C32" s="24" t="s">
        <v>134</v>
      </c>
      <c r="D32" s="22"/>
      <c r="E32" s="22"/>
      <c r="F32" s="22"/>
    </row>
    <row r="33" spans="1:6" ht="31.95" customHeight="1">
      <c r="A33" s="11" t="s">
        <v>135</v>
      </c>
      <c r="B33" s="4" t="s">
        <v>136</v>
      </c>
      <c r="C33" s="4" t="s">
        <v>137</v>
      </c>
      <c r="D33" s="22"/>
      <c r="E33" s="22"/>
      <c r="F33" s="22"/>
    </row>
    <row r="34" spans="1:6" ht="31.95" customHeight="1">
      <c r="A34" s="11" t="s">
        <v>138</v>
      </c>
      <c r="B34" s="4" t="s">
        <v>139</v>
      </c>
      <c r="C34" s="4" t="s">
        <v>140</v>
      </c>
      <c r="D34" s="22"/>
      <c r="E34" s="22"/>
      <c r="F34" s="22"/>
    </row>
    <row r="35" spans="1:6" ht="31.95" customHeight="1">
      <c r="A35" s="11" t="s">
        <v>141</v>
      </c>
      <c r="B35" s="4" t="s">
        <v>142</v>
      </c>
      <c r="C35" s="4" t="s">
        <v>143</v>
      </c>
      <c r="D35" s="22"/>
      <c r="E35" s="22"/>
      <c r="F35" s="22"/>
    </row>
    <row r="37" spans="1:6">
      <c r="A37" s="43" t="s">
        <v>144</v>
      </c>
      <c r="B37" s="37"/>
      <c r="C37" s="37"/>
      <c r="D37" s="37"/>
      <c r="E37" s="37"/>
      <c r="F37" s="38"/>
    </row>
    <row r="38" spans="1:6">
      <c r="A38" s="1" t="s">
        <v>145</v>
      </c>
      <c r="B38" s="46" t="s">
        <v>146</v>
      </c>
      <c r="C38" s="37"/>
      <c r="D38" s="37"/>
      <c r="E38" s="37"/>
      <c r="F38" s="38"/>
    </row>
    <row r="39" spans="1:6">
      <c r="A39" s="1" t="s">
        <v>147</v>
      </c>
      <c r="B39" s="45" t="s">
        <v>148</v>
      </c>
      <c r="C39" s="37"/>
      <c r="D39" s="37"/>
      <c r="E39" s="37"/>
      <c r="F39" s="38"/>
    </row>
    <row r="41" spans="1:6">
      <c r="A41" s="2" t="s">
        <v>11</v>
      </c>
      <c r="B41" s="2" t="s">
        <v>149</v>
      </c>
      <c r="C41" s="22"/>
      <c r="D41" s="22"/>
      <c r="E41" s="22"/>
      <c r="F41" s="22"/>
    </row>
    <row r="42" spans="1:6">
      <c r="A42" s="3">
        <v>1</v>
      </c>
      <c r="B42" s="4" t="s">
        <v>150</v>
      </c>
      <c r="C42" s="22"/>
      <c r="D42" s="22"/>
      <c r="E42" s="22"/>
      <c r="F42" s="22"/>
    </row>
    <row r="43" spans="1:6">
      <c r="A43" s="3">
        <v>2</v>
      </c>
      <c r="B43" s="4" t="s">
        <v>151</v>
      </c>
      <c r="C43" s="22"/>
      <c r="D43" s="22"/>
      <c r="E43" s="22"/>
      <c r="F43" s="22"/>
    </row>
    <row r="44" spans="1:6">
      <c r="A44" s="3">
        <v>3</v>
      </c>
      <c r="B44" s="4" t="s">
        <v>152</v>
      </c>
      <c r="C44" s="22"/>
      <c r="D44" s="22"/>
      <c r="E44" s="22"/>
      <c r="F44" s="22"/>
    </row>
    <row r="45" spans="1:6">
      <c r="A45" s="3">
        <v>4</v>
      </c>
      <c r="B45" s="4" t="s">
        <v>153</v>
      </c>
      <c r="C45" s="22"/>
      <c r="D45" s="22"/>
      <c r="E45" s="22"/>
      <c r="F45" s="22"/>
    </row>
    <row r="46" spans="1:6">
      <c r="A46" s="3">
        <v>5</v>
      </c>
      <c r="B46" s="4" t="s">
        <v>154</v>
      </c>
      <c r="C46" s="22"/>
      <c r="D46" s="22"/>
      <c r="E46" s="22"/>
      <c r="F46" s="22"/>
    </row>
    <row r="47" spans="1:6">
      <c r="A47" s="3">
        <v>6</v>
      </c>
      <c r="B47" s="4" t="s">
        <v>155</v>
      </c>
      <c r="C47" s="22"/>
      <c r="D47" s="22"/>
      <c r="E47" s="22"/>
      <c r="F47" s="22"/>
    </row>
    <row r="48" spans="1:6">
      <c r="A48" s="3">
        <v>7</v>
      </c>
      <c r="B48" s="4" t="s">
        <v>156</v>
      </c>
      <c r="C48" s="22"/>
      <c r="D48" s="22"/>
      <c r="E48" s="22"/>
      <c r="F48" s="22"/>
    </row>
  </sheetData>
  <mergeCells count="15">
    <mergeCell ref="B39:F39"/>
    <mergeCell ref="B38:F38"/>
    <mergeCell ref="A37:F37"/>
    <mergeCell ref="A1:F2"/>
    <mergeCell ref="A9:F9"/>
    <mergeCell ref="C6:F6"/>
    <mergeCell ref="C7:F7"/>
    <mergeCell ref="A31:F31"/>
    <mergeCell ref="A17:F17"/>
    <mergeCell ref="A4:F4"/>
    <mergeCell ref="C5:F5"/>
    <mergeCell ref="A28:F29"/>
    <mergeCell ref="B26:F26"/>
    <mergeCell ref="B27:F27"/>
    <mergeCell ref="A25:F2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showGridLines="0" topLeftCell="A25" workbookViewId="0">
      <selection activeCell="G4" sqref="G4"/>
    </sheetView>
  </sheetViews>
  <sheetFormatPr defaultRowHeight="14.4"/>
  <cols>
    <col min="1" max="1" width="4" customWidth="1"/>
    <col min="2" max="2" width="28" customWidth="1"/>
    <col min="3" max="3" width="22" customWidth="1"/>
    <col min="4" max="4" width="24" customWidth="1"/>
    <col min="5" max="5" width="28" customWidth="1"/>
    <col min="6" max="6" width="4" customWidth="1"/>
    <col min="7" max="10" width="14" customWidth="1"/>
  </cols>
  <sheetData>
    <row r="1" spans="1:8">
      <c r="A1" s="27" t="s">
        <v>157</v>
      </c>
      <c r="B1" s="28"/>
      <c r="C1" s="28"/>
      <c r="D1" s="28"/>
      <c r="E1" s="29"/>
    </row>
    <row r="2" spans="1:8">
      <c r="A2" s="30"/>
      <c r="B2" s="31"/>
      <c r="C2" s="31"/>
      <c r="D2" s="31"/>
      <c r="E2" s="32"/>
    </row>
    <row r="4" spans="1:8">
      <c r="A4" s="43" t="s">
        <v>158</v>
      </c>
      <c r="B4" s="37"/>
      <c r="C4" s="37"/>
      <c r="D4" s="37"/>
      <c r="E4" s="38"/>
      <c r="G4" s="10" t="s">
        <v>159</v>
      </c>
    </row>
    <row r="6" spans="1:8">
      <c r="B6" s="11" t="s">
        <v>160</v>
      </c>
      <c r="C6" s="12" t="s">
        <v>119</v>
      </c>
      <c r="G6" s="13" t="s">
        <v>161</v>
      </c>
      <c r="H6" s="13" t="str">
        <f>IFERROR(VLOOKUP($C$11,'Admission Rules'!$A$19:$F$22,4,FALSE),"")</f>
        <v/>
      </c>
    </row>
    <row r="7" spans="1:8">
      <c r="B7" s="11" t="s">
        <v>50</v>
      </c>
      <c r="C7" s="14" t="s">
        <v>119</v>
      </c>
      <c r="G7" s="13" t="s">
        <v>162</v>
      </c>
      <c r="H7" s="13" t="str">
        <f>IFERROR(VLOOKUP($C$11,'Admission Rules'!$A$19:$F$22,5,FALSE),"")</f>
        <v/>
      </c>
    </row>
    <row r="8" spans="1:8">
      <c r="B8" s="11" t="s">
        <v>55</v>
      </c>
      <c r="C8" s="14" t="s">
        <v>119</v>
      </c>
      <c r="G8" s="13" t="s">
        <v>163</v>
      </c>
      <c r="H8" s="13" t="str">
        <f>IFERROR(VLOOKUP($C$11,'Admission Rules'!$A$19:$F$22,2,FALSE),"")</f>
        <v/>
      </c>
    </row>
    <row r="9" spans="1:8">
      <c r="B9" s="11" t="s">
        <v>58</v>
      </c>
      <c r="C9" s="14" t="s">
        <v>119</v>
      </c>
      <c r="G9" s="13" t="s">
        <v>164</v>
      </c>
      <c r="H9" s="13" t="str">
        <f>IFERROR(VLOOKUP($C$11,'Admission Rules'!$A$19:$F$22,3,FALSE),"")</f>
        <v/>
      </c>
    </row>
    <row r="10" spans="1:8">
      <c r="B10" s="11" t="s">
        <v>61</v>
      </c>
      <c r="C10" s="12" t="s">
        <v>119</v>
      </c>
    </row>
    <row r="11" spans="1:8">
      <c r="B11" s="11" t="s">
        <v>75</v>
      </c>
      <c r="C11" s="12" t="s">
        <v>119</v>
      </c>
    </row>
    <row r="12" spans="1:8">
      <c r="B12" s="11" t="s">
        <v>165</v>
      </c>
      <c r="C12" s="12" t="s">
        <v>119</v>
      </c>
    </row>
    <row r="13" spans="1:8">
      <c r="B13" s="11" t="s">
        <v>166</v>
      </c>
      <c r="C13" s="15" t="s">
        <v>119</v>
      </c>
    </row>
    <row r="14" spans="1:8">
      <c r="B14" s="11" t="s">
        <v>167</v>
      </c>
      <c r="C14" s="12" t="s">
        <v>119</v>
      </c>
    </row>
    <row r="16" spans="1:8">
      <c r="A16" s="43" t="s">
        <v>168</v>
      </c>
      <c r="B16" s="37"/>
      <c r="C16" s="37"/>
      <c r="D16" s="37"/>
      <c r="E16" s="38"/>
    </row>
    <row r="18" spans="1:5">
      <c r="B18" s="11" t="s">
        <v>169</v>
      </c>
      <c r="C18" s="16" t="str">
        <f>IF(OR($C$6="",$C$8=""),"",IF(OR($C$6&lt;17,$C$8&lt;50),"Not Eligible","Eligible"))</f>
        <v/>
      </c>
    </row>
    <row r="19" spans="1:5">
      <c r="B19" s="11" t="s">
        <v>101</v>
      </c>
      <c r="C19" s="16" t="str">
        <f>IF($C$18&lt;&gt;"Eligible","",IFERROR(VLOOKUP($C$10,'Admission Rules'!$A$11:$B$15,2,FALSE),""))</f>
        <v/>
      </c>
    </row>
    <row r="20" spans="1:5">
      <c r="B20" s="11" t="s">
        <v>170</v>
      </c>
      <c r="C20" s="16" t="str">
        <f>IF($C$18="","",IF($C$18&lt;&gt;"Eligible","Not Eligible",IF($C$11="","",IF(OR($H$6="",$H$7=""),"Rule Not Specified",IF(AND(IF($H$8="",TRUE,$C$6&lt;=$H$8),IF(OR($H$9="",$H$9="Any"),TRUE,$C$10=$H$9),$C$8&gt;=$H$6,$C$9&gt;=$H$7),"Selected","Not Selected")))))</f>
        <v/>
      </c>
    </row>
    <row r="21" spans="1:5">
      <c r="B21" s="11" t="s">
        <v>171</v>
      </c>
      <c r="C21" s="17" t="str">
        <f>IF(OR($C$8="",$C$9=""),"",ROUND(($C$8+$C$9)/2,1))</f>
        <v/>
      </c>
    </row>
    <row r="22" spans="1:5" ht="28.8">
      <c r="B22" s="11" t="s">
        <v>172</v>
      </c>
      <c r="C22" s="16" t="str">
        <f>IF($C$18&lt;&gt;"Eligible","-",IF($C$21="","-",IF($C$21&gt;=$C$29,"Open Merit",IF($C$21&gt;=$C$30,"2nd Merit List","Self Finance"))))</f>
        <v>-</v>
      </c>
    </row>
    <row r="23" spans="1:5">
      <c r="B23" s="11" t="s">
        <v>173</v>
      </c>
      <c r="C23" s="16" t="str">
        <f>IF($C$18&lt;&gt;"Eligible","-",IF($C$21="","-",IF(AND($C$8&gt;=85,$C$9&gt;=70),"Merit Scholarship",IF(AND($C$13&lt;&gt;"",$C$13&lt;=80000,$C$21&gt;=70),"Need-based Aid","Normal Fee"))))</f>
        <v>-</v>
      </c>
    </row>
    <row r="24" spans="1:5">
      <c r="B24" s="11" t="s">
        <v>174</v>
      </c>
      <c r="C24" s="16" t="str">
        <f>IF($C$18&lt;&gt;"Eligible","-",IF(UPPER($C$12)="Y","Hostel Eligible","Hostel Not Eligible"))</f>
        <v>-</v>
      </c>
    </row>
    <row r="25" spans="1:5">
      <c r="B25" s="11" t="s">
        <v>175</v>
      </c>
      <c r="C25" s="16" t="str">
        <f>IF(OR($C$24&lt;&gt;"Hostel Eligible",$C$21=""),"-",IF($C$21&gt;=80,"High","Standard"))</f>
        <v>-</v>
      </c>
    </row>
    <row r="26" spans="1:5" ht="109.95" customHeight="1">
      <c r="B26" s="11" t="s">
        <v>176</v>
      </c>
      <c r="C26" s="16" t="s">
        <v>177</v>
      </c>
    </row>
    <row r="28" spans="1:5">
      <c r="A28" s="49" t="s">
        <v>178</v>
      </c>
      <c r="B28" s="37"/>
      <c r="C28" s="37"/>
      <c r="D28" s="37"/>
      <c r="E28" s="38"/>
    </row>
    <row r="29" spans="1:5">
      <c r="B29" s="11" t="s">
        <v>179</v>
      </c>
      <c r="C29" s="18">
        <v>80</v>
      </c>
    </row>
    <row r="30" spans="1:5">
      <c r="B30" s="11" t="s">
        <v>180</v>
      </c>
      <c r="C30" s="18">
        <v>70</v>
      </c>
    </row>
    <row r="31" spans="1:5">
      <c r="A31" s="42" t="s">
        <v>181</v>
      </c>
      <c r="B31" s="28"/>
      <c r="C31" s="28"/>
      <c r="D31" s="28"/>
      <c r="E31" s="29"/>
    </row>
    <row r="32" spans="1:5">
      <c r="A32" s="30"/>
      <c r="B32" s="31"/>
      <c r="C32" s="31"/>
      <c r="D32" s="31"/>
      <c r="E32" s="32"/>
    </row>
  </sheetData>
  <mergeCells count="5">
    <mergeCell ref="A4:E4"/>
    <mergeCell ref="A16:E16"/>
    <mergeCell ref="A28:E28"/>
    <mergeCell ref="A31:E32"/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showGridLines="0" workbookViewId="0">
      <selection sqref="A1:K2"/>
    </sheetView>
  </sheetViews>
  <sheetFormatPr defaultRowHeight="14.4"/>
  <cols>
    <col min="1" max="1" width="20" customWidth="1"/>
    <col min="2" max="3" width="10" customWidth="1"/>
    <col min="4" max="4" width="12" customWidth="1"/>
    <col min="5" max="5" width="16" customWidth="1"/>
    <col min="6" max="6" width="14" customWidth="1"/>
    <col min="7" max="7" width="12" customWidth="1"/>
    <col min="8" max="8" width="14" customWidth="1"/>
    <col min="9" max="11" width="16" customWidth="1"/>
  </cols>
  <sheetData>
    <row r="1" spans="1:11">
      <c r="A1" s="27" t="s">
        <v>182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>
      <c r="A2" s="30"/>
      <c r="B2" s="31"/>
      <c r="C2" s="31"/>
      <c r="D2" s="31"/>
      <c r="E2" s="31"/>
      <c r="F2" s="31"/>
      <c r="G2" s="31"/>
      <c r="H2" s="31"/>
      <c r="I2" s="31"/>
      <c r="J2" s="31"/>
      <c r="K2" s="32"/>
    </row>
    <row r="4" spans="1:11">
      <c r="A4" s="43" t="s">
        <v>183</v>
      </c>
      <c r="B4" s="37"/>
      <c r="C4" s="37"/>
      <c r="D4" s="37"/>
      <c r="E4" s="37"/>
      <c r="F4" s="37"/>
      <c r="G4" s="37"/>
      <c r="H4" s="37"/>
      <c r="I4" s="37"/>
      <c r="J4" s="37"/>
      <c r="K4" s="38"/>
    </row>
    <row r="5" spans="1:11">
      <c r="A5" s="2" t="s">
        <v>184</v>
      </c>
      <c r="B5" s="2" t="s">
        <v>45</v>
      </c>
      <c r="C5" s="2" t="s">
        <v>185</v>
      </c>
      <c r="D5" s="2" t="s">
        <v>186</v>
      </c>
      <c r="E5" s="2" t="s">
        <v>61</v>
      </c>
      <c r="F5" s="2" t="s">
        <v>112</v>
      </c>
      <c r="G5" s="2" t="s">
        <v>187</v>
      </c>
      <c r="H5" s="2" t="s">
        <v>188</v>
      </c>
      <c r="I5" s="2" t="s">
        <v>189</v>
      </c>
      <c r="J5" s="2" t="s">
        <v>190</v>
      </c>
      <c r="K5" s="2" t="s">
        <v>191</v>
      </c>
    </row>
    <row r="6" spans="1:11">
      <c r="A6" s="11" t="s">
        <v>192</v>
      </c>
      <c r="B6" s="3">
        <v>19</v>
      </c>
      <c r="C6" s="8">
        <v>72</v>
      </c>
      <c r="D6" s="8">
        <v>66</v>
      </c>
      <c r="E6" s="4" t="s">
        <v>104</v>
      </c>
      <c r="F6" s="4" t="s">
        <v>118</v>
      </c>
      <c r="G6" s="3" t="s">
        <v>193</v>
      </c>
      <c r="H6" s="19">
        <v>70000</v>
      </c>
      <c r="I6" s="20" t="str">
        <f>IF(OR(B6&lt;17,C6&lt;50),"Not Eligible","Eligible")</f>
        <v>Eligible</v>
      </c>
      <c r="J6" s="20" t="str">
        <f>IF(I6&lt;&gt;"Eligible","Not Eligible",IF(OR(IFERROR(VLOOKUP(F6,'Admission Rules'!$A$19:$F$22,4,FALSE),"")="",IFERROR(VLOOKUP(F6,'Admission Rules'!$A$19:$F$22,5,FALSE),"")=""),"Rule Not Specified",IF(AND(IF(IFERROR(VLOOKUP(F6,'Admission Rules'!$A$19:$F$22,2,FALSE),"")="",TRUE,B6&lt;=IFERROR(VLOOKUP(F6,'Admission Rules'!$A$19:$F$22,2,FALSE),"")),IF(OR(IFERROR(VLOOKUP(F6,'Admission Rules'!$A$19:$F$22,3,FALSE),"")="",IFERROR(VLOOKUP(F6,'Admission Rules'!$A$19:$F$22,3,FALSE),"")="Any"),TRUE,E6=IFERROR(VLOOKUP(F6,'Admission Rules'!$A$19:$F$22,3,FALSE),"")),C6&gt;=IFERROR(VLOOKUP(F6,'Admission Rules'!$A$19:$F$22,4,FALSE),0),D6&gt;=IFERROR(VLOOKUP(F6,'Admission Rules'!$A$19:$F$22,5,FALSE),0)),"Selected","Not Selected")))</f>
        <v>Selected</v>
      </c>
      <c r="K6" s="21">
        <f>ROUND((C6+D6)/2,1)</f>
        <v>69</v>
      </c>
    </row>
    <row r="7" spans="1:11">
      <c r="A7" s="11" t="s">
        <v>194</v>
      </c>
      <c r="B7" s="3">
        <v>24</v>
      </c>
      <c r="C7" s="8">
        <v>78</v>
      </c>
      <c r="D7" s="8">
        <v>70</v>
      </c>
      <c r="E7" s="4" t="s">
        <v>102</v>
      </c>
      <c r="F7" s="4" t="s">
        <v>121</v>
      </c>
      <c r="G7" s="3" t="s">
        <v>119</v>
      </c>
      <c r="H7" s="3" t="s">
        <v>119</v>
      </c>
      <c r="I7" s="20" t="str">
        <f>IF(OR(B7&lt;17,C7&lt;50),"Not Eligible","Eligible")</f>
        <v>Eligible</v>
      </c>
      <c r="J7" s="20" t="str">
        <f>IF(I7&lt;&gt;"Eligible","Not Eligible",IF(OR(IFERROR(VLOOKUP(F7,'Admission Rules'!$A$19:$F$22,4,FALSE),"")="",IFERROR(VLOOKUP(F7,'Admission Rules'!$A$19:$F$22,5,FALSE),"")=""),"Rule Not Specified",IF(AND(IF(IFERROR(VLOOKUP(F7,'Admission Rules'!$A$19:$F$22,2,FALSE),"")="",TRUE,B7&lt;=IFERROR(VLOOKUP(F7,'Admission Rules'!$A$19:$F$22,2,FALSE),"")),IF(OR(IFERROR(VLOOKUP(F7,'Admission Rules'!$A$19:$F$22,3,FALSE),"")="",IFERROR(VLOOKUP(F7,'Admission Rules'!$A$19:$F$22,3,FALSE),"")="Any"),TRUE,E7=IFERROR(VLOOKUP(F7,'Admission Rules'!$A$19:$F$22,3,FALSE),"")),C7&gt;=IFERROR(VLOOKUP(F7,'Admission Rules'!$A$19:$F$22,4,FALSE),0),D7&gt;=IFERROR(VLOOKUP(F7,'Admission Rules'!$A$19:$F$22,5,FALSE),0)),"Selected","Not Selected")))</f>
        <v>Not Selected</v>
      </c>
      <c r="K7" s="21">
        <f>ROUND((C7+D7)/2,1)</f>
        <v>74</v>
      </c>
    </row>
    <row r="10" spans="1:11">
      <c r="A10" s="42" t="s">
        <v>195</v>
      </c>
      <c r="B10" s="28"/>
      <c r="C10" s="28"/>
      <c r="D10" s="28"/>
      <c r="E10" s="28"/>
      <c r="F10" s="28"/>
      <c r="G10" s="28"/>
      <c r="H10" s="28"/>
      <c r="I10" s="28"/>
      <c r="J10" s="28"/>
      <c r="K10" s="29"/>
    </row>
    <row r="11" spans="1:11">
      <c r="A11" s="34"/>
      <c r="B11" s="26"/>
      <c r="C11" s="26"/>
      <c r="D11" s="26"/>
      <c r="E11" s="26"/>
      <c r="F11" s="26"/>
      <c r="G11" s="26"/>
      <c r="H11" s="26"/>
      <c r="I11" s="26"/>
      <c r="J11" s="26"/>
      <c r="K11" s="35"/>
    </row>
    <row r="12" spans="1:11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2"/>
    </row>
  </sheetData>
  <mergeCells count="3">
    <mergeCell ref="A10:K12"/>
    <mergeCell ref="A1:K2"/>
    <mergeCell ref="A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showGridLines="0" topLeftCell="A7" workbookViewId="0">
      <selection sqref="A1:B2"/>
    </sheetView>
  </sheetViews>
  <sheetFormatPr defaultRowHeight="14.4"/>
  <cols>
    <col min="1" max="1" width="26" customWidth="1"/>
    <col min="2" max="2" width="62" customWidth="1"/>
  </cols>
  <sheetData>
    <row r="1" spans="1:2">
      <c r="A1" s="27" t="s">
        <v>196</v>
      </c>
      <c r="B1" s="29"/>
    </row>
    <row r="2" spans="1:2">
      <c r="A2" s="30"/>
      <c r="B2" s="32"/>
    </row>
    <row r="4" spans="1:2">
      <c r="A4" s="43" t="s">
        <v>197</v>
      </c>
      <c r="B4" s="38"/>
    </row>
    <row r="5" spans="1:2">
      <c r="A5" s="2" t="s">
        <v>198</v>
      </c>
      <c r="B5" s="2" t="s">
        <v>199</v>
      </c>
    </row>
    <row r="6" spans="1:2" ht="28.8">
      <c r="A6" s="11" t="s">
        <v>200</v>
      </c>
      <c r="B6" s="4" t="s">
        <v>201</v>
      </c>
    </row>
    <row r="7" spans="1:2" ht="28.8">
      <c r="A7" s="11" t="s">
        <v>202</v>
      </c>
      <c r="B7" s="4" t="s">
        <v>203</v>
      </c>
    </row>
    <row r="8" spans="1:2">
      <c r="A8" s="11" t="s">
        <v>204</v>
      </c>
      <c r="B8" s="4" t="s">
        <v>205</v>
      </c>
    </row>
    <row r="9" spans="1:2" ht="28.8">
      <c r="A9" s="11" t="s">
        <v>206</v>
      </c>
      <c r="B9" s="4" t="s">
        <v>207</v>
      </c>
    </row>
    <row r="10" spans="1:2" ht="28.8">
      <c r="A10" s="11" t="s">
        <v>208</v>
      </c>
      <c r="B10" s="4" t="s">
        <v>209</v>
      </c>
    </row>
    <row r="13" spans="1:2">
      <c r="A13" s="43" t="s">
        <v>210</v>
      </c>
      <c r="B13" s="38"/>
    </row>
    <row r="14" spans="1:2">
      <c r="A14" s="2" t="s">
        <v>211</v>
      </c>
      <c r="B14" s="2" t="s">
        <v>212</v>
      </c>
    </row>
    <row r="15" spans="1:2">
      <c r="A15" s="11" t="s">
        <v>213</v>
      </c>
      <c r="B15" s="4" t="s">
        <v>214</v>
      </c>
    </row>
    <row r="16" spans="1:2">
      <c r="A16" s="11" t="s">
        <v>118</v>
      </c>
      <c r="B16" s="4" t="s">
        <v>215</v>
      </c>
    </row>
    <row r="17" spans="1:2">
      <c r="A17" s="11" t="s">
        <v>123</v>
      </c>
      <c r="B17" s="4" t="s">
        <v>216</v>
      </c>
    </row>
    <row r="18" spans="1:2">
      <c r="A18" s="11" t="s">
        <v>217</v>
      </c>
      <c r="B18" s="4" t="s">
        <v>218</v>
      </c>
    </row>
    <row r="19" spans="1:2">
      <c r="A19" s="11" t="s">
        <v>219</v>
      </c>
      <c r="B19" s="4" t="s">
        <v>220</v>
      </c>
    </row>
    <row r="20" spans="1:2">
      <c r="A20" s="11" t="s">
        <v>221</v>
      </c>
      <c r="B20" s="4" t="s">
        <v>222</v>
      </c>
    </row>
    <row r="21" spans="1:2">
      <c r="A21" s="11" t="s">
        <v>223</v>
      </c>
      <c r="B21" s="4" t="s">
        <v>224</v>
      </c>
    </row>
    <row r="22" spans="1:2">
      <c r="A22" s="11" t="s">
        <v>225</v>
      </c>
      <c r="B22" s="4" t="s">
        <v>226</v>
      </c>
    </row>
    <row r="23" spans="1:2">
      <c r="A23" s="11" t="s">
        <v>191</v>
      </c>
      <c r="B23" s="4" t="s">
        <v>227</v>
      </c>
    </row>
    <row r="24" spans="1:2">
      <c r="A24" s="11" t="s">
        <v>228</v>
      </c>
      <c r="B24" s="4" t="s">
        <v>229</v>
      </c>
    </row>
    <row r="25" spans="1:2">
      <c r="A25" s="11" t="s">
        <v>230</v>
      </c>
      <c r="B25" s="4" t="s">
        <v>231</v>
      </c>
    </row>
    <row r="26" spans="1:2">
      <c r="A26" s="11" t="s">
        <v>68</v>
      </c>
      <c r="B26" s="4" t="s">
        <v>232</v>
      </c>
    </row>
  </sheetData>
  <mergeCells count="3">
    <mergeCell ref="A1:B2"/>
    <mergeCell ref="A13:B13"/>
    <mergeCell ref="A4:B4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showGridLines="0" workbookViewId="0">
      <selection activeCell="A4" sqref="A4:D4"/>
    </sheetView>
  </sheetViews>
  <sheetFormatPr defaultRowHeight="14.4"/>
  <cols>
    <col min="1" max="1" width="34" customWidth="1"/>
    <col min="2" max="2" width="18" customWidth="1"/>
    <col min="3" max="3" width="52" customWidth="1"/>
    <col min="4" max="4" width="36" customWidth="1"/>
  </cols>
  <sheetData>
    <row r="1" spans="1:4">
      <c r="A1" s="27" t="s">
        <v>233</v>
      </c>
      <c r="B1" s="28"/>
      <c r="C1" s="28"/>
      <c r="D1" s="29"/>
    </row>
    <row r="2" spans="1:4">
      <c r="A2" s="30"/>
      <c r="B2" s="31"/>
      <c r="C2" s="31"/>
      <c r="D2" s="32"/>
    </row>
    <row r="4" spans="1:4">
      <c r="A4" s="42"/>
      <c r="B4" s="37"/>
      <c r="C4" s="37"/>
      <c r="D4" s="38"/>
    </row>
    <row r="6" spans="1:4">
      <c r="A6" s="2" t="s">
        <v>234</v>
      </c>
      <c r="B6" s="2" t="s">
        <v>235</v>
      </c>
      <c r="C6" s="2" t="s">
        <v>236</v>
      </c>
      <c r="D6" s="2" t="s">
        <v>237</v>
      </c>
    </row>
    <row r="7" spans="1:4" ht="28.8">
      <c r="A7" s="4" t="s">
        <v>238</v>
      </c>
      <c r="B7" s="4" t="s">
        <v>149</v>
      </c>
      <c r="C7" s="4" t="s">
        <v>239</v>
      </c>
      <c r="D7" s="4" t="s">
        <v>240</v>
      </c>
    </row>
    <row r="8" spans="1:4" ht="43.2">
      <c r="A8" s="4" t="s">
        <v>241</v>
      </c>
      <c r="B8" s="4" t="s">
        <v>242</v>
      </c>
      <c r="C8" s="4" t="s">
        <v>243</v>
      </c>
      <c r="D8" s="4" t="s">
        <v>244</v>
      </c>
    </row>
    <row r="9" spans="1:4" ht="28.8">
      <c r="A9" s="4" t="s">
        <v>245</v>
      </c>
      <c r="B9" s="4" t="s">
        <v>149</v>
      </c>
      <c r="C9" s="4" t="s">
        <v>246</v>
      </c>
      <c r="D9" s="4" t="s">
        <v>247</v>
      </c>
    </row>
    <row r="10" spans="1:4" ht="28.8">
      <c r="A10" s="4" t="s">
        <v>248</v>
      </c>
      <c r="B10" s="4" t="s">
        <v>249</v>
      </c>
      <c r="C10" s="4" t="s">
        <v>250</v>
      </c>
      <c r="D10" s="4" t="s">
        <v>251</v>
      </c>
    </row>
    <row r="11" spans="1:4" ht="28.8">
      <c r="A11" s="4" t="s">
        <v>252</v>
      </c>
      <c r="B11" s="4" t="s">
        <v>253</v>
      </c>
      <c r="C11" s="4" t="s">
        <v>254</v>
      </c>
      <c r="D11" s="4" t="s">
        <v>255</v>
      </c>
    </row>
    <row r="12" spans="1:4" ht="28.8">
      <c r="A12" s="4" t="s">
        <v>256</v>
      </c>
      <c r="B12" s="4" t="s">
        <v>257</v>
      </c>
      <c r="C12" s="4" t="s">
        <v>258</v>
      </c>
      <c r="D12" s="4" t="s">
        <v>259</v>
      </c>
    </row>
    <row r="13" spans="1:4" ht="28.8">
      <c r="A13" s="4" t="s">
        <v>260</v>
      </c>
      <c r="B13" s="4" t="s">
        <v>253</v>
      </c>
      <c r="C13" s="4" t="s">
        <v>261</v>
      </c>
      <c r="D13" s="4" t="s">
        <v>262</v>
      </c>
    </row>
  </sheetData>
  <mergeCells count="2">
    <mergeCell ref="A1:D2"/>
    <mergeCell ref="A4:D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Project Plan</vt:lpstr>
      <vt:lpstr>Inputs &amp; Validation</vt:lpstr>
      <vt:lpstr>Admission Rules</vt:lpstr>
      <vt:lpstr>Decision Calculator</vt:lpstr>
      <vt:lpstr>Sample Scenarios</vt:lpstr>
      <vt:lpstr>Glossary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Aetisaam Ul Hassan</cp:lastModifiedBy>
  <dcterms:modified xsi:type="dcterms:W3CDTF">2026-01-10T17:00:30Z</dcterms:modified>
</cp:coreProperties>
</file>